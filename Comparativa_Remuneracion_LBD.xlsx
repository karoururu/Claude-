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 #,##0;(&quot;$&quot; #,##0);&quot;-&quot;"/>
  </numFmts>
  <fonts count="6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000000"/>
      <sz val="10"/>
      <u val="single"/>
    </font>
    <font>
      <name val="Arial"/>
      <color rgb="000000FF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2" fillId="0" borderId="0" pivotButton="0" quotePrefix="0" xfId="0"/>
    <xf numFmtId="165" fontId="3" fillId="0" borderId="0" pivotButton="0" quotePrefix="0" xfId="0"/>
    <xf numFmtId="165" fontId="1" fillId="0" borderId="0" pivotButton="0" quotePrefix="0" xfId="0"/>
    <xf numFmtId="0" fontId="5" fillId="0" borderId="0" applyAlignment="1" pivotButton="0" quotePrefix="0" xfId="0">
      <alignment horizontal="right"/>
    </xf>
    <xf numFmtId="0" fontId="4" fillId="0" borderId="1" pivotButton="0" quotePrefix="0" xfId="0"/>
    <xf numFmtId="165" fontId="4" fillId="0" borderId="1" pivotButton="0" quotePrefix="0" xfId="0"/>
    <xf numFmtId="0" fontId="1" fillId="0" borderId="1" pivotButton="0" quotePrefix="0" xfId="0"/>
    <xf numFmtId="0" fontId="4" fillId="0" borderId="0" applyAlignment="1" pivotButton="0" quotePrefix="0" xfId="0">
      <alignment horizontal="right"/>
    </xf>
    <xf numFmtId="3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165" fontId="3" fillId="3" borderId="0" pivotButton="0" quotePrefix="0" xfId="0"/>
    <xf numFmtId="0" fontId="4" fillId="4" borderId="0" pivotButton="0" quotePrefix="0" xfId="0"/>
    <xf numFmtId="165" fontId="4" fillId="4" borderId="0" pivotButton="0" quotePrefix="0" xfId="0"/>
    <xf numFmtId="0" fontId="1" fillId="4" borderId="0" pivotButton="0" quotePrefix="0" xfId="0"/>
    <xf numFmtId="165" fontId="5" fillId="0" borderId="0" pivotButton="0" quotePrefix="0" xfId="0"/>
    <xf numFmtId="0" fontId="1" fillId="0" borderId="0" applyAlignment="1" pivotButton="0" quotePrefix="0" xfId="0">
      <alignment vertical="top" wrapText="1"/>
    </xf>
    <xf numFmtId="164" fontId="3" fillId="0" borderId="0" pivotButton="0" quotePrefix="0" xfId="0"/>
    <xf numFmtId="0" fontId="4" fillId="2" borderId="0" pivotButton="0" quotePrefix="0" xfId="0"/>
    <xf numFmtId="0" fontId="4" fillId="4" borderId="1" pivotButton="0" quotePrefix="0" xfId="0"/>
    <xf numFmtId="165" fontId="4" fillId="4" borderId="1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B5" authorId="0" shapeId="0">
      <text>
        <t>Cl. 4.1: premio por éxito USD 1.000.000, pagadero al finalizar la construcción y en proporción a las cobranzas.</t>
      </text>
    </comment>
    <comment ref="B7" authorId="0" shapeId="0">
      <text>
        <t>Cl. 4.1: honorarios 7% del costo de obra (s/imp.), 50% cada parte (3,5% LBD). Valores tomados de COMPARATIVA 22/07.</t>
      </text>
    </comment>
    <comment ref="F7" authorId="0" shapeId="0">
      <text>
        <t>El TS firmado entrega a LBD la propiedad del coronamiento. No está valorizado: completar si se tiene tasación.</t>
      </text>
    </comment>
    <comment ref="B11" authorId="0" shapeId="0">
      <text>
        <t>Utilidad total del proyecto (CC SRL) según COMPARATIVA 22/07. LBD participa del 10%.</t>
      </text>
    </comment>
    <comment ref="K12" authorId="0" shapeId="0">
      <text>
        <t>Costo acordado USD 1.800/m² IVA incl. + interés 6% nominal sobre aportes hasta la venta (el interés NO está descontado). Tributos a cargo de LBD.</t>
      </text>
    </comment>
    <comment ref="K13" authorId="0" shapeId="0">
      <text>
        <t>Precio base USD 3.500/m² IVA incl., mínimo 2 pisos. No aplica si LBD ejerce la opción Piso 4 (Opción B).</t>
      </text>
    </comment>
    <comment ref="K15" authorId="0" shapeId="0">
      <text>
        <t>LBD debe financiar el costo total de los 540 m² (≈ USD 1,6 M) + interés 6% nominal y asume el riesgo de venta. Costo e interés NO descontados en la utilidad.</t>
      </text>
    </comment>
    <comment ref="F20" authorId="0" shapeId="0">
      <text>
        <t>SUPUESTO: se asume el mismo costo de 400k de la tabla 22/07. El TS firmado mantiene el lit. D (prioridad para adquirir m² de 3 plantas) pero no lo valoriza. Confirmar.</t>
      </text>
    </comment>
    <comment ref="L20" authorId="0" shapeId="0">
      <text>
        <t>A confirmar: el v15 dice que el lit. D 'se deja sin efecto en el supuesto vigente'. Si no aplica, la contingencia es 0.</t>
      </text>
    </comment>
    <comment ref="B21" authorId="0" shapeId="0">
      <text>
        <t>Cl. 6.3-6.6: si no hay Acta de Recepción Provisoria al 31/12/2026 se cancela la sanción de la 2ª modificación del Acuerdo Marco por cuenta de LBD (vale 7% con aval personal de M. La Buonora).</t>
      </text>
    </comment>
    <comment ref="L23" authorId="0" shapeId="0">
      <text>
        <t>Es el 1.768.200 de la COMPARATIVA 22/07: suma solo Piso 4 y excluye PB. El texto v15 no excluye PB cuando se ejerce Piso 4.</t>
      </text>
    </comment>
    <comment ref="L26" authorId="0" shapeId="0">
      <text>
        <t>Tomado de la tabla 22/07. No está incluido en el total; confirmar si es costo o ingreso para LBD.</t>
      </text>
    </comment>
    <comment ref="L29" authorId="0" shapeId="0">
      <text>
        <t>Activo propio de LBD (boleto de reserva con Tovutinzuri), no remuneración de Berkes/RIO. En el v15 LBD se obliga a no cederlo y a darlo en garantía. En el 'modelo real 2026' original figura en 0: criterio a unificar.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" customWidth="1" min="4" max="4"/>
    <col width="40" customWidth="1" min="5" max="5"/>
    <col width="16" customWidth="1" min="6" max="6"/>
    <col width="3" customWidth="1" min="7" max="7"/>
    <col width="36" customWidth="1" min="8" max="8"/>
    <col width="8" customWidth="1" min="9" max="9"/>
    <col width="10" customWidth="1" min="10" max="10"/>
    <col width="10" customWidth="1" min="11" max="11"/>
    <col width="18" customWidth="1" min="12" max="12"/>
    <col width="18" customWidth="1" min="13" max="13"/>
  </cols>
  <sheetData>
    <row r="1" ht="30" customHeight="1">
      <c r="A1" s="1" t="inlineStr">
        <is>
          <t>Remuneración LBD - Acuerdo Original (05/07/2024)</t>
        </is>
      </c>
      <c r="B1" s="2" t="n"/>
      <c r="C1" s="2" t="n"/>
      <c r="D1" s="3" t="n"/>
      <c r="E1" s="1" t="inlineStr">
        <is>
          <t>Remuneración LBD - TS Firmado (09/02/2026)</t>
        </is>
      </c>
      <c r="F1" s="2" t="n"/>
      <c r="G1" s="3" t="n"/>
      <c r="H1" s="1" t="inlineStr">
        <is>
          <t>Remuneración LBD - Borrador TS v15 (RIO / Altern / Berkes)</t>
        </is>
      </c>
      <c r="I1" s="2" t="n"/>
      <c r="J1" s="2" t="n"/>
      <c r="K1" s="2" t="n"/>
      <c r="L1" s="2" t="n"/>
      <c r="M1" s="2" t="n"/>
    </row>
    <row r="2" ht="42" customHeight="1">
      <c r="A2" s="3" t="n"/>
      <c r="B2" s="4" t="inlineStr">
        <is>
          <t>MODELO ORIGINAL</t>
        </is>
      </c>
      <c r="C2" s="4" t="inlineStr">
        <is>
          <t>MODELO REAL 2026</t>
        </is>
      </c>
      <c r="D2" s="3" t="n"/>
      <c r="E2" s="3" t="n"/>
      <c r="F2" s="5" t="inlineStr">
        <is>
          <t>USD</t>
        </is>
      </c>
      <c r="G2" s="3" t="n"/>
      <c r="H2" s="3" t="n"/>
      <c r="I2" s="3" t="n"/>
      <c r="J2" s="3" t="n"/>
      <c r="K2" s="3" t="n"/>
      <c r="L2" s="4" t="inlineStr">
        <is>
          <t>OPCIÓN A: PB + Revenue share Altern</t>
        </is>
      </c>
      <c r="M2" s="4" t="inlineStr">
        <is>
          <t>OPCIÓN B: PB + Opción Piso 4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6" t="inlineStr">
        <is>
          <t>BASE</t>
        </is>
      </c>
      <c r="B4" s="3" t="n"/>
      <c r="C4" s="3" t="n"/>
      <c r="D4" s="3" t="n"/>
      <c r="E4" s="6" t="inlineStr">
        <is>
          <t>BASE</t>
        </is>
      </c>
      <c r="F4" s="3" t="n"/>
      <c r="G4" s="3" t="n"/>
      <c r="H4" s="6" t="inlineStr">
        <is>
          <t>BASE</t>
        </is>
      </c>
      <c r="I4" s="3" t="n"/>
      <c r="J4" s="3" t="n"/>
      <c r="K4" s="3" t="n"/>
      <c r="L4" s="3" t="n"/>
      <c r="M4" s="3" t="n"/>
    </row>
    <row r="5">
      <c r="A5" s="3" t="inlineStr">
        <is>
          <t>Valor llave (a la fin)</t>
        </is>
      </c>
      <c r="B5" s="7" t="n">
        <v>1000000</v>
      </c>
      <c r="C5" s="7" t="n">
        <v>1000000</v>
      </c>
      <c r="D5" s="3" t="n"/>
      <c r="E5" s="3" t="inlineStr">
        <is>
          <t>Llave a la firma del acuerdo definitivo</t>
        </is>
      </c>
      <c r="F5" s="7" t="n">
        <v>1000000</v>
      </c>
      <c r="G5" s="3" t="n"/>
      <c r="H5" s="3" t="inlineStr">
        <is>
          <t>Valor llave (al inicio)</t>
        </is>
      </c>
      <c r="I5" s="3" t="n"/>
      <c r="J5" s="3" t="n"/>
      <c r="K5" s="3" t="n"/>
      <c r="L5" s="7" t="n">
        <v>1100000</v>
      </c>
      <c r="M5" s="8">
        <f>L5</f>
        <v/>
      </c>
    </row>
    <row r="6">
      <c r="A6" s="3" t="inlineStr">
        <is>
          <t>Ganancia Proyecto 10%</t>
        </is>
      </c>
      <c r="B6" s="8">
        <f>B11*$B$46</f>
        <v/>
      </c>
      <c r="C6" s="8">
        <f>C11*$B$46</f>
        <v/>
      </c>
      <c r="D6" s="3" t="n"/>
      <c r="E6" s="3" t="inlineStr">
        <is>
          <t>Llave en 18 cuotas mensuales (durante obra)</t>
        </is>
      </c>
      <c r="F6" s="7" t="n">
        <v>1100000</v>
      </c>
      <c r="G6" s="3" t="n"/>
      <c r="H6" s="3" t="inlineStr">
        <is>
          <t>Valor llave a fin (95% avance, +6% nom.)</t>
        </is>
      </c>
      <c r="I6" s="3" t="n"/>
      <c r="J6" s="3" t="n"/>
      <c r="K6" s="3" t="n"/>
      <c r="L6" s="7" t="n">
        <v>377000</v>
      </c>
      <c r="M6" s="8">
        <f>L6</f>
        <v/>
      </c>
    </row>
    <row r="7">
      <c r="A7" s="3" t="inlineStr">
        <is>
          <t>Honorarios desarrollo 50%</t>
        </is>
      </c>
      <c r="B7" s="7" t="n">
        <v>550000</v>
      </c>
      <c r="C7" s="7" t="n">
        <v>612500</v>
      </c>
      <c r="D7" s="3" t="n"/>
      <c r="E7" s="3" t="inlineStr">
        <is>
          <t>Coronamiento (cochera/box/depósito con uso exclusivo)</t>
        </is>
      </c>
      <c r="F7" s="9" t="inlineStr">
        <is>
          <t>s/valorizar</t>
        </is>
      </c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10" t="inlineStr">
        <is>
          <t>Total</t>
        </is>
      </c>
      <c r="B9" s="11">
        <f>SUM(B5:B8)</f>
        <v/>
      </c>
      <c r="C9" s="11">
        <f>SUM(C5:C8)</f>
        <v/>
      </c>
      <c r="D9" s="3" t="n"/>
      <c r="E9" s="10" t="inlineStr">
        <is>
          <t>Total</t>
        </is>
      </c>
      <c r="F9" s="11">
        <f>SUM(F5:F8)</f>
        <v/>
      </c>
      <c r="G9" s="3" t="n"/>
      <c r="H9" s="10" t="inlineStr">
        <is>
          <t>Total</t>
        </is>
      </c>
      <c r="I9" s="12" t="n"/>
      <c r="J9" s="12" t="n"/>
      <c r="K9" s="12" t="n"/>
      <c r="L9" s="11">
        <f>SUM(L5:L8)</f>
        <v/>
      </c>
      <c r="M9" s="11">
        <f>SUM(M5:M8)</f>
        <v/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inlineStr">
        <is>
          <t>Ganancia TOF</t>
        </is>
      </c>
      <c r="B11" s="7" t="n">
        <v>10592596</v>
      </c>
      <c r="C11" s="7" t="n">
        <v>7592596</v>
      </c>
      <c r="D11" s="3" t="n"/>
      <c r="E11" s="3" t="n"/>
      <c r="F11" s="3" t="n"/>
      <c r="G11" s="3" t="n"/>
      <c r="H11" s="6" t="inlineStr">
        <is>
          <t>ADICIONALES</t>
        </is>
      </c>
      <c r="I11" s="13" t="inlineStr">
        <is>
          <t>un</t>
        </is>
      </c>
      <c r="J11" s="13" t="inlineStr">
        <is>
          <t>Valor</t>
        </is>
      </c>
      <c r="K11" s="13" t="inlineStr">
        <is>
          <t>Compra</t>
        </is>
      </c>
      <c r="L11" s="3" t="n"/>
      <c r="M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inlineStr">
        <is>
          <t>PB RIO (50%)</t>
        </is>
      </c>
      <c r="I12" s="14" t="n">
        <v>700</v>
      </c>
      <c r="J12" s="7" t="n">
        <v>2500</v>
      </c>
      <c r="K12" s="7" t="n">
        <v>1800</v>
      </c>
      <c r="L12" s="8">
        <f>I12*(J12-K12)*$B$47</f>
        <v/>
      </c>
      <c r="M12" s="8">
        <f>I12*(J12-K12)*$B$47</f>
        <v/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inlineStr">
        <is>
          <t>Pisos Altern (50%) - revenue share</t>
        </is>
      </c>
      <c r="I13" s="14" t="n">
        <v>1200</v>
      </c>
      <c r="J13" s="7" t="n">
        <v>3900</v>
      </c>
      <c r="K13" s="7" t="n">
        <v>3500</v>
      </c>
      <c r="L13" s="8">
        <f>I13*(J13-K13)*$B$47</f>
        <v/>
      </c>
      <c r="M13" s="7" t="n">
        <v>0</v>
      </c>
    </row>
    <row r="14">
      <c r="A14" s="3" t="n"/>
      <c r="B14" s="3" t="n"/>
      <c r="C14" s="3" t="n"/>
      <c r="D14" s="3" t="n"/>
      <c r="E14" s="3" t="n"/>
      <c r="F14" s="3" t="n"/>
      <c r="G14" s="3" t="n"/>
      <c r="H14" s="15" t="inlineStr">
        <is>
          <t>o opción N4</t>
        </is>
      </c>
      <c r="I14" s="3" t="n"/>
      <c r="J14" s="3" t="n"/>
      <c r="K14" s="3" t="n"/>
      <c r="L14" s="3" t="n"/>
      <c r="M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inlineStr">
        <is>
          <t>Nivel 4 TOF</t>
        </is>
      </c>
      <c r="I15" s="14" t="n">
        <v>540</v>
      </c>
      <c r="J15" s="7" t="n">
        <v>4250</v>
      </c>
      <c r="K15" s="7" t="n">
        <v>2970</v>
      </c>
      <c r="L15" s="7" t="n">
        <v>0</v>
      </c>
      <c r="M15" s="8">
        <f>I15*(J15-K15)*$B$48</f>
        <v/>
      </c>
    </row>
    <row r="16">
      <c r="A16" s="3" t="n"/>
      <c r="B16" s="3" t="n"/>
      <c r="C16" s="3" t="n"/>
      <c r="D16" s="3" t="n"/>
      <c r="E16" s="3" t="n"/>
      <c r="F16" s="3" t="n"/>
      <c r="G16" s="3" t="n"/>
      <c r="H16" s="10" t="inlineStr">
        <is>
          <t>Total adicionales</t>
        </is>
      </c>
      <c r="I16" s="12" t="n"/>
      <c r="J16" s="12" t="n"/>
      <c r="K16" s="12" t="n"/>
      <c r="L16" s="11">
        <f>L12+L13+L15</f>
        <v/>
      </c>
      <c r="M16" s="11">
        <f>M12+M13+M15</f>
        <v/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16" t="inlineStr">
        <is>
          <t>Contingencia LBD</t>
        </is>
      </c>
      <c r="B18" s="3" t="n"/>
      <c r="C18" s="3" t="n"/>
      <c r="D18" s="3" t="n"/>
      <c r="E18" s="16" t="inlineStr">
        <is>
          <t>Contingencia LBD</t>
        </is>
      </c>
      <c r="F18" s="3" t="n"/>
      <c r="G18" s="3" t="n"/>
      <c r="H18" s="16" t="inlineStr">
        <is>
          <t>Contingencia</t>
        </is>
      </c>
      <c r="I18" s="3" t="n"/>
      <c r="J18" s="3" t="n"/>
      <c r="K18" s="3" t="n"/>
      <c r="L18" s="3" t="n"/>
      <c r="M18" s="3" t="n"/>
    </row>
    <row r="19">
      <c r="A19" s="3" t="inlineStr">
        <is>
          <t>GO FM (4%)</t>
        </is>
      </c>
      <c r="B19" s="3" t="n"/>
      <c r="C19" s="7" t="n">
        <v>174800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3" t="inlineStr">
        <is>
          <t>Pisos Maneiro</t>
        </is>
      </c>
      <c r="B20" s="3" t="n"/>
      <c r="C20" s="7" t="n">
        <v>400000</v>
      </c>
      <c r="D20" s="3" t="n"/>
      <c r="E20" s="3" t="inlineStr">
        <is>
          <t>Pisos Maneiro (lit. D, a confirmar)</t>
        </is>
      </c>
      <c r="F20" s="17" t="n">
        <v>400000</v>
      </c>
      <c r="G20" s="3" t="n"/>
      <c r="H20" s="3" t="inlineStr">
        <is>
          <t>Pisos Maneiro</t>
        </is>
      </c>
      <c r="I20" s="3" t="n"/>
      <c r="J20" s="3" t="n"/>
      <c r="K20" s="3" t="n"/>
      <c r="L20" s="17" t="n">
        <v>400000</v>
      </c>
      <c r="M20" s="8">
        <f>L20</f>
        <v/>
      </c>
    </row>
    <row r="21">
      <c r="A21" s="3" t="inlineStr">
        <is>
          <t>Multa Maneiro</t>
        </is>
      </c>
      <c r="B21" s="7" t="n">
        <v>600000</v>
      </c>
      <c r="C21" s="3" t="n"/>
      <c r="D21" s="3" t="n"/>
      <c r="E21" s="3" t="inlineStr">
        <is>
          <t>Multa Maneiro (renunciada, cond. 2.B)</t>
        </is>
      </c>
      <c r="F21" s="7" t="n">
        <v>0</v>
      </c>
      <c r="G21" s="3" t="n"/>
      <c r="H21" s="3" t="n"/>
      <c r="I21" s="3" t="n"/>
      <c r="J21" s="3" t="n"/>
      <c r="K21" s="3" t="n"/>
      <c r="L21" s="3" t="n"/>
      <c r="M21" s="3" t="n"/>
    </row>
    <row r="22">
      <c r="A22" s="18" t="inlineStr">
        <is>
          <t>Ganancias - Contingencias</t>
        </is>
      </c>
      <c r="B22" s="19">
        <f>B9-B19-B20-B21</f>
        <v/>
      </c>
      <c r="C22" s="19">
        <f>C9-C19-C20-C21</f>
        <v/>
      </c>
      <c r="D22" s="3" t="n"/>
      <c r="E22" s="18" t="inlineStr">
        <is>
          <t>Ganancias - Contingencias</t>
        </is>
      </c>
      <c r="F22" s="19">
        <f>F9-F20-F21</f>
        <v/>
      </c>
      <c r="G22" s="3" t="n"/>
      <c r="H22" s="18" t="inlineStr">
        <is>
          <t>Ganancias - Contingencias</t>
        </is>
      </c>
      <c r="I22" s="20" t="n"/>
      <c r="J22" s="20" t="n"/>
      <c r="K22" s="20" t="n"/>
      <c r="L22" s="19">
        <f>L9+L16-L20</f>
        <v/>
      </c>
      <c r="M22" s="19">
        <f>M9+M16-M20</f>
        <v/>
      </c>
    </row>
    <row r="23">
      <c r="A23" s="3" t="n"/>
      <c r="B23" s="3" t="n"/>
      <c r="C23" s="3" t="n"/>
      <c r="D23" s="3" t="n"/>
      <c r="E23" s="3" t="n"/>
      <c r="F23" s="3" t="n"/>
      <c r="G23" s="3" t="n"/>
      <c r="H23" s="15" t="inlineStr">
        <is>
          <t>Ref. tabla 22/07 (Piso 4 sin PB)</t>
        </is>
      </c>
      <c r="I23" s="3" t="n"/>
      <c r="J23" s="3" t="n"/>
      <c r="K23" s="3" t="n"/>
      <c r="L23" s="21">
        <f>L9+M15-L20</f>
        <v/>
      </c>
      <c r="M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16" t="inlineStr">
        <is>
          <t>Cesiones</t>
        </is>
      </c>
      <c r="B25" s="3" t="n"/>
      <c r="C25" s="3" t="n"/>
      <c r="D25" s="3" t="n"/>
      <c r="E25" s="16" t="inlineStr">
        <is>
          <t>Cesiones</t>
        </is>
      </c>
      <c r="F25" s="3" t="n"/>
      <c r="G25" s="3" t="n"/>
      <c r="H25" s="16" t="inlineStr">
        <is>
          <t>Cesiones</t>
        </is>
      </c>
      <c r="I25" s="3" t="n"/>
      <c r="J25" s="3" t="n"/>
      <c r="K25" s="3" t="n"/>
      <c r="L25" s="3" t="n"/>
      <c r="M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inlineStr">
        <is>
          <t>GO FM (4%) - informativo, no suma</t>
        </is>
      </c>
      <c r="I26" s="3" t="n"/>
      <c r="J26" s="3" t="n"/>
      <c r="K26" s="3" t="n"/>
      <c r="L26" s="7" t="n">
        <v>174800</v>
      </c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16" t="inlineStr">
        <is>
          <t>Otros</t>
        </is>
      </c>
      <c r="B28" s="3" t="n"/>
      <c r="C28" s="3" t="n"/>
      <c r="D28" s="3" t="n"/>
      <c r="E28" s="16" t="inlineStr">
        <is>
          <t>Otros</t>
        </is>
      </c>
      <c r="F28" s="3" t="n"/>
      <c r="G28" s="3" t="n"/>
      <c r="H28" s="16" t="inlineStr">
        <is>
          <t>Otros</t>
        </is>
      </c>
      <c r="I28" s="13" t="inlineStr">
        <is>
          <t>un</t>
        </is>
      </c>
      <c r="J28" s="13" t="inlineStr">
        <is>
          <t>Valor</t>
        </is>
      </c>
      <c r="K28" s="13" t="inlineStr">
        <is>
          <t>Compra</t>
        </is>
      </c>
      <c r="L28" s="3" t="n"/>
      <c r="M28" s="3" t="n"/>
    </row>
    <row r="29">
      <c r="A29" s="3" t="inlineStr">
        <is>
          <t>Nivel 4 CCCOM</t>
        </is>
      </c>
      <c r="B29" s="7" t="n">
        <v>1305000</v>
      </c>
      <c r="C29" s="7" t="n">
        <v>0</v>
      </c>
      <c r="D29" s="3" t="n"/>
      <c r="E29" s="3" t="n"/>
      <c r="F29" s="3" t="n"/>
      <c r="G29" s="3" t="n"/>
      <c r="H29" s="3" t="inlineStr">
        <is>
          <t>Nivel 4 CCCOM</t>
        </is>
      </c>
      <c r="I29" s="14" t="n">
        <v>900</v>
      </c>
      <c r="J29" s="7" t="n">
        <v>3800</v>
      </c>
      <c r="K29" s="7" t="n">
        <v>900</v>
      </c>
      <c r="L29" s="8">
        <f>I29*(J29-K29)*$B$49</f>
        <v/>
      </c>
      <c r="M29" s="8">
        <f>L29</f>
        <v/>
      </c>
    </row>
    <row r="30">
      <c r="A30" s="10" t="inlineStr">
        <is>
          <t>Total</t>
        </is>
      </c>
      <c r="B30" s="11">
        <f>SUM(B29)</f>
        <v/>
      </c>
      <c r="C30" s="11">
        <f>SUM(C29)</f>
        <v/>
      </c>
      <c r="D30" s="3" t="n"/>
      <c r="E30" s="3" t="n"/>
      <c r="F30" s="3" t="n"/>
      <c r="G30" s="3" t="n"/>
      <c r="H30" s="10" t="inlineStr">
        <is>
          <t>Total</t>
        </is>
      </c>
      <c r="I30" s="12" t="n"/>
      <c r="J30" s="12" t="n"/>
      <c r="K30" s="12" t="n"/>
      <c r="L30" s="11">
        <f>SUM(L29)</f>
        <v/>
      </c>
      <c r="M30" s="11">
        <f>SUM(M29)</f>
        <v/>
      </c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6" t="inlineStr">
        <is>
          <t>Otros:</t>
        </is>
      </c>
      <c r="B32" s="3" t="n"/>
      <c r="C32" s="3" t="n"/>
      <c r="D32" s="3" t="n"/>
      <c r="E32" s="6" t="inlineStr">
        <is>
          <t>Otros:</t>
        </is>
      </c>
      <c r="F32" s="3" t="n"/>
      <c r="G32" s="3" t="n"/>
      <c r="H32" s="6" t="inlineStr">
        <is>
          <t>Otros:</t>
        </is>
      </c>
      <c r="I32" s="3" t="n"/>
      <c r="J32" s="3" t="n"/>
      <c r="K32" s="3" t="n"/>
      <c r="L32" s="3" t="n"/>
      <c r="M32" s="3" t="n"/>
    </row>
    <row r="33">
      <c r="A33" s="22" t="inlineStr">
        <is>
          <t>En caso que se ejecute la multa de 600 mil USD es a cargo de LBD y gastos de ocupación son ingreso del proyecto.</t>
        </is>
      </c>
      <c r="D33" s="3" t="n"/>
      <c r="E33" s="22" t="inlineStr">
        <is>
          <t>Multa Maneiro renunciada (cond. 2.B). Gastos de ocupación: Maneiro exonerado en sus unidades (cond. 2.C).</t>
        </is>
      </c>
      <c r="G33" s="3" t="n"/>
      <c r="H33" s="22" t="inlineStr">
        <is>
          <t>LBD propone descontar Multa de los GO de Maneiro.</t>
        </is>
      </c>
    </row>
    <row r="34">
      <c r="D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6" t="inlineStr">
        <is>
          <t>SUPUESTOS (celdas azules = inputs)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3" t="inlineStr">
        <is>
          <t>% LBD en utilidad de CC SRL (cl. 3.3 acuerdo original)</t>
        </is>
      </c>
      <c r="B46" s="23" t="n">
        <v>0.1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3" t="inlineStr">
        <is>
          <t>% LBD en utilidad PB y revenue share Altern (v15)</t>
        </is>
      </c>
      <c r="B47" s="23" t="n">
        <v>0.5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3" t="inlineStr">
        <is>
          <t>% LBD en utilidad Piso 4 TOF (v15, aporta 100% del costo)</t>
        </is>
      </c>
      <c r="B48" s="23" t="n">
        <v>1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3" t="inlineStr">
        <is>
          <t>% LBD en Nivel 4 CCCOM (según tabla 22/07)</t>
        </is>
      </c>
      <c r="B49" s="23" t="n">
        <v>0.5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</sheetData>
  <mergeCells count="6">
    <mergeCell ref="E33:F34"/>
    <mergeCell ref="H1:M1"/>
    <mergeCell ref="A1:C1"/>
    <mergeCell ref="E1:F1"/>
    <mergeCell ref="A33:C34"/>
    <mergeCell ref="H33:M3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6" t="inlineStr">
        <is>
          <t>Resumen comparativo - Remuneración LBD (USD)</t>
        </is>
      </c>
    </row>
    <row r="3" ht="55" customHeight="1">
      <c r="A3" s="24" t="inlineStr">
        <is>
          <t>Concepto</t>
        </is>
      </c>
      <c r="B3" s="1" t="inlineStr">
        <is>
          <t>Original real 2026</t>
        </is>
      </c>
      <c r="C3" s="1" t="inlineStr">
        <is>
          <t>TS firmado 09/02/26</t>
        </is>
      </c>
      <c r="D3" s="1" t="inlineStr">
        <is>
          <t>v15 Opción A (PB + rev. share Altern)</t>
        </is>
      </c>
      <c r="E3" s="1" t="inlineStr">
        <is>
          <t>v15 Opción B (PB + Piso 4)</t>
        </is>
      </c>
      <c r="F3" s="1" t="inlineStr">
        <is>
          <t>v15 s/ tabla 22/07 (Piso 4 sin PB)</t>
        </is>
      </c>
    </row>
    <row r="4">
      <c r="A4" s="3" t="inlineStr">
        <is>
          <t>Base (llave + utilidad 10% + honorarios)</t>
        </is>
      </c>
      <c r="B4" s="8">
        <f>Comparativa!C9</f>
        <v/>
      </c>
      <c r="C4" s="8">
        <f>Comparativa!F9</f>
        <v/>
      </c>
      <c r="D4" s="8">
        <f>Comparativa!L9</f>
        <v/>
      </c>
      <c r="E4" s="8">
        <f>Comparativa!M9</f>
        <v/>
      </c>
      <c r="F4" s="8">
        <f>Comparativa!L9</f>
        <v/>
      </c>
    </row>
    <row r="5">
      <c r="A5" s="3" t="inlineStr">
        <is>
          <t>Adicionales (PB / revenue share / Piso 4)</t>
        </is>
      </c>
      <c r="B5" s="7" t="n">
        <v>0</v>
      </c>
      <c r="C5" s="7" t="n">
        <v>0</v>
      </c>
      <c r="D5" s="8">
        <f>Comparativa!L16</f>
        <v/>
      </c>
      <c r="E5" s="8">
        <f>Comparativa!M16</f>
        <v/>
      </c>
      <c r="F5" s="8">
        <f>Comparativa!M15</f>
        <v/>
      </c>
    </row>
    <row r="6">
      <c r="A6" s="3" t="inlineStr">
        <is>
          <t>Contingencias (GO FM, Pisos Maneiro, multa)</t>
        </is>
      </c>
      <c r="B6" s="8">
        <f>-(Comparativa!C19+Comparativa!C20+Comparativa!C21)</f>
        <v/>
      </c>
      <c r="C6" s="8">
        <f>-(Comparativa!F20+Comparativa!F21)</f>
        <v/>
      </c>
      <c r="D6" s="8">
        <f>-Comparativa!L20</f>
        <v/>
      </c>
      <c r="E6" s="8">
        <f>-Comparativa!M20</f>
        <v/>
      </c>
      <c r="F6" s="8">
        <f>-Comparativa!L20</f>
        <v/>
      </c>
    </row>
    <row r="7">
      <c r="A7" s="25" t="inlineStr">
        <is>
          <t>Neto Ganancias - Contingencias</t>
        </is>
      </c>
      <c r="B7" s="26">
        <f>SUM(B4:B6)</f>
        <v/>
      </c>
      <c r="C7" s="26">
        <f>SUM(C4:C6)</f>
        <v/>
      </c>
      <c r="D7" s="26">
        <f>SUM(D4:D6)</f>
        <v/>
      </c>
      <c r="E7" s="26">
        <f>SUM(E4:E6)</f>
        <v/>
      </c>
      <c r="F7" s="26">
        <f>SUM(F4:F6)</f>
        <v/>
      </c>
    </row>
    <row r="8">
      <c r="A8" s="3" t="inlineStr">
        <is>
          <t>Otros: Nivel 4 CCCOM (activo propio de LBD)</t>
        </is>
      </c>
      <c r="B8" s="8">
        <f>Comparativa!C30</f>
        <v/>
      </c>
      <c r="C8" s="7" t="n">
        <v>0</v>
      </c>
      <c r="D8" s="8">
        <f>Comparativa!L30</f>
        <v/>
      </c>
      <c r="E8" s="8">
        <f>Comparativa!M30</f>
        <v/>
      </c>
      <c r="F8" s="8">
        <f>Comparativa!L30</f>
        <v/>
      </c>
    </row>
    <row r="9">
      <c r="A9" s="10" t="inlineStr">
        <is>
          <t>Neto + Otros</t>
        </is>
      </c>
      <c r="B9" s="11">
        <f>B7+B8</f>
        <v/>
      </c>
      <c r="C9" s="11">
        <f>C7+C8</f>
        <v/>
      </c>
      <c r="D9" s="11">
        <f>D7+D8</f>
        <v/>
      </c>
      <c r="E9" s="11">
        <f>E7+E8</f>
        <v/>
      </c>
      <c r="F9" s="11">
        <f>F7+F8</f>
        <v/>
      </c>
    </row>
    <row r="11">
      <c r="A11" s="3" t="inlineStr">
        <is>
          <t>Δ Neto vs Original real 2026 (USD)</t>
        </is>
      </c>
      <c r="B11" s="8">
        <f>B7-$B$7</f>
        <v/>
      </c>
      <c r="C11" s="8">
        <f>C7-$B$7</f>
        <v/>
      </c>
      <c r="D11" s="8">
        <f>D7-$B$7</f>
        <v/>
      </c>
      <c r="E11" s="8">
        <f>E7-$B$7</f>
        <v/>
      </c>
      <c r="F11" s="8">
        <f>F7-$B$7</f>
        <v/>
      </c>
    </row>
    <row r="12">
      <c r="A12" s="3" t="inlineStr">
        <is>
          <t>Δ Neto vs Original real 2026 (%)</t>
        </is>
      </c>
      <c r="B12" s="27">
        <f>IF($B$7=0,0,B11/$B$7)</f>
        <v/>
      </c>
      <c r="C12" s="27">
        <f>IF($B$7=0,0,C11/$B$7)</f>
        <v/>
      </c>
      <c r="D12" s="27">
        <f>IF($B$7=0,0,D11/$B$7)</f>
        <v/>
      </c>
      <c r="E12" s="27">
        <f>IF($B$7=0,0,E11/$B$7)</f>
        <v/>
      </c>
      <c r="F12" s="27">
        <f>IF($B$7=0,0,F11/$B$7)</f>
        <v/>
      </c>
    </row>
    <row r="13">
      <c r="A13" s="3" t="inlineStr">
        <is>
          <t>Δ Base vs Original real 2026 (USD)</t>
        </is>
      </c>
      <c r="B13" s="8">
        <f>B4-$B$4</f>
        <v/>
      </c>
      <c r="C13" s="8">
        <f>C4-$B$4</f>
        <v/>
      </c>
      <c r="D13" s="8">
        <f>D4-$B$4</f>
        <v/>
      </c>
      <c r="E13" s="8">
        <f>E4-$B$4</f>
        <v/>
      </c>
      <c r="F13" s="8">
        <f>F4-$B$4</f>
        <v/>
      </c>
    </row>
    <row r="14">
      <c r="A14" s="3" t="inlineStr">
        <is>
          <t>Δ Base vs Original real 2026 (%)</t>
        </is>
      </c>
      <c r="B14" s="27">
        <f>IF($B$4=0,0,B13/$B$4)</f>
        <v/>
      </c>
      <c r="C14" s="27">
        <f>IF($B$4=0,0,C13/$B$4)</f>
        <v/>
      </c>
      <c r="D14" s="27">
        <f>IF($B$4=0,0,D13/$B$4)</f>
        <v/>
      </c>
      <c r="E14" s="27">
        <f>IF($B$4=0,0,E13/$B$4)</f>
        <v/>
      </c>
      <c r="F14" s="27">
        <f>IF($B$4=0,0,F13/$B$4)</f>
        <v/>
      </c>
    </row>
    <row r="16">
      <c r="A16" s="6" t="inlineStr">
        <is>
          <t>Notas</t>
        </is>
      </c>
    </row>
    <row r="17" ht="30" customHeight="1">
      <c r="A17" s="22" t="inlineStr">
        <is>
          <t>* TS firmado: no incluye el valor del coronamiento (sin valorizar). La contingencia de 400k (Pisos Maneiro) es un supuesto a confirmar.</t>
        </is>
      </c>
    </row>
    <row r="18" ht="30" customHeight="1">
      <c r="A18" s="22" t="inlineStr">
        <is>
          <t>Opción A y B son excluyentes entre sí (el revenue share de Altern no aplica si LBD ejerce la opción Piso 4). PB RIO aplica en ambas.</t>
        </is>
      </c>
    </row>
    <row r="19" ht="30" customHeight="1">
      <c r="A19" s="22" t="inlineStr">
        <is>
          <t>Adicionales del v15 sin descontar: interés 6% nominal sobre aportes (PB y Piso 4), financiamiento del costo del Piso 4 (~USD 1,6 M), IVA y tributos a cargo de LBD.</t>
        </is>
      </c>
    </row>
    <row r="20" ht="30" customHeight="1">
      <c r="A20" s="22" t="inlineStr">
        <is>
          <t>Sin cuantificar en el v15: opción de cocheras (USD 25.000 c/u), ahorro eventual por tipo de cambio en contrato de obra, reintegro de USD 750.000 de Parque Roosevelt (pass-through) e interés 6% sobre los 377.000.</t>
        </is>
      </c>
    </row>
    <row r="21" ht="30" customHeight="1">
      <c r="A21" s="22" t="inlineStr">
        <is>
          <t>Sin cuantificar en el acuerdo original: comisión 2% + IVA por ventas impulsadas por LBD (cl. 8).</t>
        </is>
      </c>
    </row>
    <row r="22" ht="30" customHeight="1">
      <c r="A22" s="22" t="inlineStr">
        <is>
          <t>Nivel 4 CCCOM: figura en el modelo original en 1.305.000 y en 0 en el 'modelo real 2026'; es un activo propio de LBD, no remuneración de Berkes. Se muestra aparte para no inflar la comparación.</t>
        </is>
      </c>
    </row>
    <row r="23" ht="30" customHeight="1">
      <c r="A23" s="22" t="inlineStr">
        <is>
          <t>Valores nominales, sin descontar. El original paga al final de obra; el v15 paga 1,1 M a la firma y 377k al 95% de avance.</t>
        </is>
      </c>
    </row>
    <row r="24" ht="30" customHeight="1">
      <c r="A24" s="22" t="inlineStr">
        <is>
          <t>Fuentes: Acuerdo Berkes-LBD 05/07/2024 (cl. 3.3, 4.1, 6, 8); TS firmado 09/02/2026; borrador TS v15 (08/07/2026); COMPARATIVA ACUERDO BERKES - LBD RIO 22/07 (inputs azules).</t>
        </is>
      </c>
    </row>
  </sheetData>
  <mergeCells count="8">
    <mergeCell ref="A24:F24"/>
    <mergeCell ref="A19:F19"/>
    <mergeCell ref="A23:F23"/>
    <mergeCell ref="A22:F22"/>
    <mergeCell ref="A17:F17"/>
    <mergeCell ref="A18:F18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2026-10-02T16:53:20Z</dcterms:created>
  <dcterms:modified xsi:type="dcterms:W3CDTF">2026-10-02T16:53:20Z</dcterms:modified>
</cp:coreProperties>
</file>